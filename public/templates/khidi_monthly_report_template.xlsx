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테플러\2025 정부지원과제\02. 본로이\03. 진행 중\12. ICT 기반 외국인환자 사전상담·사후관리 지원 사업\02. 진행서류\07. 월간 업무 보고\"/>
    </mc:Choice>
  </mc:AlternateContent>
  <xr:revisionPtr revIDLastSave="0" documentId="13_ncr:1_{768B24A3-2777-43C8-B84A-864E61299D8C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요약" sheetId="1" r:id="rId1"/>
    <sheet name="사전사후관리 현황보고 양식_누적" sheetId="2" r:id="rId2"/>
    <sheet name="4월" sheetId="3" r:id="rId3"/>
    <sheet name="5월" sheetId="4" r:id="rId4"/>
    <sheet name="6월" sheetId="5" r:id="rId5"/>
    <sheet name="7월" sheetId="6" r:id="rId6"/>
    <sheet name="8월" sheetId="7" r:id="rId7"/>
    <sheet name="9월" sheetId="8" r:id="rId8"/>
    <sheet name="10월" sheetId="9" r:id="rId9"/>
    <sheet name="11월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K13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J5" i="1"/>
  <c r="I5" i="1"/>
  <c r="H5" i="1"/>
  <c r="G5" i="1"/>
  <c r="F5" i="1"/>
  <c r="E5" i="1"/>
  <c r="D5" i="1"/>
  <c r="C5" i="1"/>
  <c r="K5" i="1" l="1"/>
</calcChain>
</file>

<file path=xl/sharedStrings.xml><?xml version="1.0" encoding="utf-8"?>
<sst xmlns="http://schemas.openxmlformats.org/spreadsheetml/2006/main" count="233" uniqueCount="115">
  <si>
    <t>5월 주요 업무보고</t>
  </si>
  <si>
    <t>일정</t>
  </si>
  <si>
    <t>5월 추진 실적</t>
  </si>
  <si>
    <t>6월 추진 계획(목표)</t>
  </si>
  <si>
    <t>1주</t>
  </si>
  <si>
    <t>○ 착수계 준비
 - 관련 서류 준비
○ 웹사이트 개발
 - 데이터 백업 이중화
 - 검색 엔진 최적화(SEO) 적용
○ 글로벌 외국인 환자 유치 에이전시 발굴
 - Medyvoyage MOU 체결
 - 에이전시 추가 발굴</t>
  </si>
  <si>
    <t>○ 신규 인력 채용
 - 아셀, 강주열 입사
○ 웹사이트 개발
 - 원격 화상상담 시스템 구현
 - 실시간 번역/자막 적용
○ 외국인 환자 유치
 - 에티오피아 환자 신장이식 진행 여부 결정
 - B2B 제안서(러시아어/카자흐어) 완성 및 발송</t>
  </si>
  <si>
    <t>2주</t>
  </si>
  <si>
    <t>○ 착수계 준비
 - 관련 서류 제출
○ 웹사이트 개발
 - 원격 화상상담 실시간 자막 적용
 - 환자 만족도 설문 시스템 적용
○ 글로벌 외국인 환자 유치 에이전시 발굴
 - MOU 에이전시에 등록된 외국인 환자 적합성 검토
 - 에이전시별 환자 송출 프로세스 협의
○ 신규 브랜드 검토
 - HEALO 상표권 이슈 확인, 신규 브랜드 필요성 검토 착수</t>
  </si>
  <si>
    <t>○ 웹사이트 개발
 - 통합 문의 퍼널 오픈
○ 외국인 환자 유치 
 - 카자흐 현지 에이전시/의료기관/보험사 컨택 및 미팅</t>
  </si>
  <si>
    <t>3주</t>
  </si>
  <si>
    <t>○ 웹사이트 개발
 - 암환자 컨시어지 중심 서비스 개편
 - 회원관리 시스템 구축
 - 환자 문의 폼 개선
○ 글로벌 외국인 환자 유치 에이전시 발굴
 - 카자흐 현지 의료기관 리스트 업
○ 신규 브랜드 검토
 - 네이밍 후보 200여 개·도메인 검증 진행</t>
  </si>
  <si>
    <t>○ 웹사이트 개발
 - 원격협진 안내 페이지·준비 서류 가이드 제작
○ 외국인 환자 유치
 - 외국인 환자 온라인 미팅 진행
 - 샘플 케이스 검토</t>
  </si>
  <si>
    <t>4주</t>
  </si>
  <si>
    <t>○ 웹사이트 개발
 - 카자흐, 러시아어 검수 및 보강
 - 병원 페이지 SEO 최적화 및 실사진 적용
○  글로벌 외국인 환자 유치 에이전시 발굴
 - 환자 송출 프로세스 정비
○ 외국인 환자 유치
 - 에티오피아 국적 신장이식 문의 접수 및 검토</t>
  </si>
  <si>
    <t>○ 신규 브랜드 검토
 - 신규 브랜드 확정 및 상표 출원 준비
○ 외국인 환자 유치
 - 외국인 환자 유치 1건 진행
 - 신규 에이전시/의료기관 추가 발굴</t>
  </si>
  <si>
    <t>사전상담(건)</t>
  </si>
  <si>
    <t>사후관리(건)</t>
  </si>
  <si>
    <t>환자유치(건)</t>
  </si>
  <si>
    <t>기타 사항</t>
  </si>
  <si>
    <t>사전상담·사후관리 실적(요약)</t>
  </si>
  <si>
    <t>구분</t>
  </si>
  <si>
    <t>4월</t>
  </si>
  <si>
    <t>5월</t>
  </si>
  <si>
    <t>6월</t>
  </si>
  <si>
    <t>7월</t>
  </si>
  <si>
    <t>8월</t>
  </si>
  <si>
    <t>9월</t>
  </si>
  <si>
    <t>10월</t>
  </si>
  <si>
    <t>11월</t>
  </si>
  <si>
    <t>계</t>
  </si>
  <si>
    <t>사전상담</t>
  </si>
  <si>
    <t>사후관리</t>
  </si>
  <si>
    <t>환자유치</t>
  </si>
  <si>
    <t>국고보조금 사용실적(요약)</t>
  </si>
  <si>
    <t>국고보조금액</t>
  </si>
  <si>
    <t>잔액</t>
  </si>
  <si>
    <t>사용액</t>
  </si>
  <si>
    <t>외국인환자 유치의료기관 사전상담·사후관리 실적 보고(관리지침 91쪽 참고)</t>
  </si>
  <si>
    <t>항목</t>
  </si>
  <si>
    <t>진료유형</t>
  </si>
  <si>
    <t>외국인환자  정보</t>
  </si>
  <si>
    <t>사전사후관리 내용 및 기간</t>
  </si>
  <si>
    <t>국내의료인 정보</t>
  </si>
  <si>
    <t>국외의료인 정보</t>
  </si>
  <si>
    <t>환자등록번호(또는 성명)</t>
  </si>
  <si>
    <t>출생연도</t>
  </si>
  <si>
    <t>성별</t>
  </si>
  <si>
    <t>국적명</t>
  </si>
  <si>
    <t>진료일자
(사전사후관리 실행)</t>
  </si>
  <si>
    <t>진료과명</t>
  </si>
  <si>
    <t>주상병명</t>
  </si>
  <si>
    <t>사전사후관리 내용</t>
  </si>
  <si>
    <t>성명</t>
  </si>
  <si>
    <t>면허정보</t>
  </si>
  <si>
    <t>진료과목</t>
  </si>
  <si>
    <t>소속기관</t>
  </si>
  <si>
    <t>국적</t>
  </si>
  <si>
    <t>소재지(거주지역)</t>
  </si>
  <si>
    <t>체크사항</t>
  </si>
  <si>
    <t>사전상담/
사후관리</t>
  </si>
  <si>
    <t>최대13자리
(환자를 분류할 수 있는 임의의 번호 또는 코드)</t>
  </si>
  <si>
    <t>YYYY
(숫자 4자리)</t>
  </si>
  <si>
    <t>남/여</t>
  </si>
  <si>
    <t>한글</t>
  </si>
  <si>
    <t>YYYY-MM-DD</t>
  </si>
  <si>
    <t>안과</t>
  </si>
  <si>
    <t>라식&amp;렌즈 삽입술</t>
  </si>
  <si>
    <t>강막혼탁으로 레이저 불가, 렌즈삽입술 예정(유효기간 20~30년), 2026년 8월 내원 예정 등</t>
  </si>
  <si>
    <t>홍길동</t>
  </si>
  <si>
    <t>000병원</t>
  </si>
  <si>
    <t>ABC</t>
  </si>
  <si>
    <t>가정의학과</t>
  </si>
  <si>
    <t>몽골</t>
  </si>
  <si>
    <t>울란바타르</t>
  </si>
  <si>
    <t>제1병원</t>
  </si>
  <si>
    <t>실적입력 →</t>
  </si>
  <si>
    <t>4월 주요 업무보고</t>
  </si>
  <si>
    <t>4월 추진 실적</t>
  </si>
  <si>
    <t>5월 추진 계획(목표)</t>
  </si>
  <si>
    <t>○ 사업계획서 보완
 - 사업비 재편성
○ 웹사이트 개발
 - 기존 웹사이트(HEALO) 재설계
 - 카자흐, 러시아어 적용
○ 글로벌 외국인 환자 유치 에이전시 발굴
 - MOU 계약서 초안 구성
 - Medyvoyage 업체 미팅</t>
  </si>
  <si>
    <t>○ 사업 착수
 - 착수보고회 대비 사업계획서 수정 및 발표자료 준비
○ 웹사이트 개발
 - 홈페이지 UI/UX 개선
 - 환자 문의 접수 페이지 개선
○ 글로벌 외국인 환자 유치 에이전시 발굴
 - 에이전시 리스트 리서치 및 적합성 분류
 - MOU 계약서 완성</t>
  </si>
  <si>
    <t>○ 착수계 준비
 - 관련 서류 제출
○ 웹사이트 개발
 - 원격 화상상담 실시간 자막 적용
 - 환자 만족도 설문 시스템 적용
○ 글로벌 외국인 환자 유치 에이전시 발굴
 - MOU 에이전시에 등록된 외국인 환자 적합성 검토
 - 에이전시별 환자 송출 프로세스 협의</t>
  </si>
  <si>
    <t>○ 웹사이트 개발
 - AI 챗봇 고도화
 - 환자용 대시보드 설계 및 적용
○ 글로벌 외국인 환자 유치 에이전시 발굴
 - Global Health Opulence 업체 미팅
 - The Medical Travel Company 업체 미팅</t>
  </si>
  <si>
    <t>○ 웹사이트 개발
 - 성과 지표 추적 대시보드 구현
 - 사후관리 지원 시스템 설계
○ 글로벌 외국인 환자 유치 에이전시 발굴
 - 카자흐 현지 의료기관 발굴 및 컨택
 - 신규 에이전시 추가 미팅</t>
  </si>
  <si>
    <t>○ 선급지금신청 및 협약 체결
 - 관련 서류 준비 및 제출 완료 
○ 웹사이트 개발
 - 원격 화상상담 설계 및 적용
 - 시스템 보안 강화
○ 글로벌 외국인 환자 유치 에이전시 발굴
 - Medyonix 업체 미팅
 - Global Healthcare Opulence MOU 체결 완료
 - 카자흐스탄 국적 코디네이터 면접 진행</t>
  </si>
  <si>
    <t>○ 웹사이트 개발
 - 카자흐, 러시아어 전수 검수
 - 시범 운영 시작 
○ 글로벌 외국인 환자 유치 에이전시 발굴
 - 카자흐 현지 의료기관 미팅
 - 외국인 환자 케이스 사전 체크 및 유치 여부 검토</t>
  </si>
  <si>
    <t>6월 주요 업무보고</t>
  </si>
  <si>
    <t>6월 추진 실적</t>
  </si>
  <si>
    <t>7월 추진 계획(목표)</t>
  </si>
  <si>
    <t>○ 신규 인력 채용
 - 아셀, 강주열 입사
○ 웹사이트 개발
 - 원격 화상상담 실시간 통역·자막 구현 및 품질 안정화
 - 성과지표 추적 대시보드 구현 (유치 전환 현황, 기관별 집계)
 - 양·한방 협진 의뢰 워크플로우 구축 (협진 연계율 측정)
○ 글로벌 외국인 환자 유치 에이전시 발굴
 - 에티오피아 환자 신장이식 케이스 검토 완료 — 치료 가능 회신 (환자 측 회신 대기)
 - B2B 제안서 완성 및 현지 에이전시 발송 (Medicaltour·MedicaTour 등)
 - 에이전시 전용 포털 구축 (환자 케이스 진행상황·보험정보 공유)</t>
  </si>
  <si>
    <t>○ 웹사이트 개발
 - 통합 문의 퍼널 오픈 (AI 상담·메신저 상담·문의폼 단일 진입, 6개 언어)
 - 상담기록·협진의뢰서 증빙자료 내보내기 기능 구현
 - 성과지표 집계 정확성 정비 및 집계오류 자동 감시 체계 적용
○ 글로벌 외국인 환자 유치 에이전시 발굴
 - 카자흐스탄 에이전시 MedOnco 협력 미팅(6/12) — 진행상태 추적·보험 연동 등 요구사항 확인, 플랫폼 반영 착수
 - 해외 의료기관 치료경과 업로드 기능 구현 (현지 주치의 사후관리 연계)</t>
  </si>
  <si>
    <t>○ 웹사이트 개발
 - 검색 노출 최적화 (네이버·구글 검색 등록 점검)
○ 글로벌 외국인 환자 유치 에이전시 발굴
 - CIS권 에이전시 계약·MOU 확대 — 키르기스스탄 Medex Travel(7/2 미팅, MOU·계약서 송부), 카자흐스탄 Big Tourism·All Hospitals(7/10 미팅)</t>
  </si>
  <si>
    <t>7월 주요 업무보고</t>
  </si>
  <si>
    <t>7월 추진 실적</t>
  </si>
  <si>
    <t>8월 추진 계획(목표)</t>
  </si>
  <si>
    <t>○
 -
   *
○
 -
   *</t>
  </si>
  <si>
    <t>8월 주요 업무보고</t>
  </si>
  <si>
    <t>8월 추진 실적</t>
  </si>
  <si>
    <t>9월 추진 계획(목표)</t>
  </si>
  <si>
    <t>9월 주요 업무보고</t>
  </si>
  <si>
    <t>.</t>
  </si>
  <si>
    <t>9월 추진 실적</t>
  </si>
  <si>
    <t>10월 추진 계획(목표)</t>
  </si>
  <si>
    <t>10월 주요 업무보고</t>
  </si>
  <si>
    <t>10월 추진 실적</t>
  </si>
  <si>
    <t>11월 추진 계획(목표)</t>
  </si>
  <si>
    <t>11월 주요 업무보고</t>
  </si>
  <si>
    <t>11월 추진 실적</t>
  </si>
  <si>
    <t>해당없음</t>
  </si>
  <si>
    <t>○ 웹사이트 개발
 - 시스템 보안 전수 점검 및 보완 (고위험 취약점 0건 확인)
 - 환자 만족도 설문 자동발송 체계 정비
 - AI 상담 품질관리·안전장치 강화 (부정확한 표현 자동 차단, 6개 언어)
○ 신규 브랜드 런칭
 - 신규 브랜드 'healwith' 확정, 도메인(healwith.co.kr) 등록
○ 글로벌 외국인 환자 유치 에이전시 발굴
 - 카자흐스탄 에이전시 Medicaltour 협력 온라인 미팅(6/16) — 종양 분야 공동 진입 제안자료 회신
 - 카자흐스탄 UMIT 종양센터 1차 온라인 미팅(6/17) — 세컨드오피니언·수술 후 재활 연계·치료 가격표 협의</t>
    <phoneticPr fontId="1" type="noConversion"/>
  </si>
  <si>
    <t>○ 웹사이트 개발
 - AI 상담 → 코디네이터 연결 동선 개선 (예시질문·연결버튼, 6개 언어)
 - 관리자 성과지표 통합 현황판 구축 (목표 대비 달성률 실시간 확인)
○ 신규 브랜드 런칭
 - healwith.co.kr 정식 가동 — 전 서비스 신규 도메인 전환 완료
 - 구글·얀덱스·네이버 검색엔진 등록 및 소유권 인증 (핵심 시장 러시아권 얀덱스 포함)
 - 공식 이메일 체계(@healwith.co.kr) 구축
○ 글로벌 외국인 환자 유치 에이전시 발굴
 - 러시아 에이전시 MedicaTour 협력 미팅(6/19) — MOU·계약 체결 희망, 계약서 초안 작성·송부 추진
○ 외국인 환자 유치
 - Medex Travel 에이전시 통해 키르키스스탄 간 이식 수술 문의 접수</t>
    <phoneticPr fontId="1" type="noConversion"/>
  </si>
  <si>
    <t>○ 웹사이트 개발
 - 견적서·동의서·비자초청장 등 발급문서 다국어(러시아·카자흐어) 품질 정비
○ 글로벌 외국인 환자 유치 에이전시 발굴
 - 러시아 보험사 Madanes 협력·MOU 추진 (보험 안내 페이지·보험사 전용 계정 구축)
○ 외국인 환자 유치
 - 키르키스스탄 환자 사전상담 및 치료 진행 여부 검토</t>
    <phoneticPr fontId="1" type="noConversion"/>
  </si>
  <si>
    <t>○ 웹사이트 개발
 - AI 상담 품질 상시 관측 강화 (정확도·응답시간 자동 채점)
 - 참여병원 4개 지점 외국인환자 유치의료기관 등록 반영·의료진 정보 갱신
○ 마케팅·유입 확대
 - 유료 마케팅 집행 개시 (러시아·CIS 타겟 광고)
 - 오가닉 검색 유입 확대 (구글·얀덱스 키워드 노출 점검·콘텐츠 보강)</t>
    <phoneticPr fontId="1" type="noConversion"/>
  </si>
  <si>
    <t>○ 마케팅·유입 확대
 - 마케팅 집행 본격화 — 채널별 유입·문의 전환 측정 및 예산 조정
○ 외국인 환자 유치
 - 실환자 사전상담 → 유치 전환 개시 (에이전시·보험사·마케팅 경유 실환자 유입)
○ 중간평가 준비
 - 8월 중간평가 대비 성과 정리 및 발표자료 준비 착수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</si>
</sst>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20"/>
      <color theme="2"/>
      <name val="나눔고딕"/>
      <family val="3"/>
      <charset val="129"/>
    </font>
    <font>
      <b/>
      <sz val="11"/>
      <color theme="2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8"/>
      <color indexed="8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41" fontId="14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9" fillId="0" borderId="0" xfId="1" applyFont="1">
      <alignment vertical="center"/>
    </xf>
    <xf numFmtId="0" fontId="8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center" vertical="center" wrapText="1"/>
    </xf>
    <xf numFmtId="14" fontId="11" fillId="6" borderId="1" xfId="1" applyNumberFormat="1" applyFont="1" applyFill="1" applyBorder="1" applyAlignment="1">
      <alignment horizontal="center" vertical="center" wrapText="1"/>
    </xf>
    <xf numFmtId="0" fontId="12" fillId="0" borderId="0" xfId="1" applyFont="1">
      <alignment vertical="center"/>
    </xf>
    <xf numFmtId="0" fontId="11" fillId="5" borderId="5" xfId="1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14" fontId="12" fillId="0" borderId="0" xfId="1" applyNumberFormat="1" applyFont="1">
      <alignment vertical="center"/>
    </xf>
    <xf numFmtId="0" fontId="8" fillId="5" borderId="2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 wrapText="1"/>
    </xf>
    <xf numFmtId="14" fontId="8" fillId="5" borderId="2" xfId="1" applyNumberFormat="1" applyFont="1" applyFill="1" applyBorder="1" applyAlignment="1">
      <alignment horizontal="center" vertical="center" wrapText="1"/>
    </xf>
    <xf numFmtId="0" fontId="15" fillId="0" borderId="7" xfId="1" applyFont="1" applyBorder="1">
      <alignment vertical="center"/>
    </xf>
    <xf numFmtId="0" fontId="16" fillId="0" borderId="0" xfId="0" applyFo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17" fillId="0" borderId="0" xfId="2" applyFo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/>
    <xf numFmtId="0" fontId="5" fillId="2" borderId="0" xfId="0" applyFont="1" applyFill="1" applyAlignment="1">
      <alignment horizontal="left" vertical="center"/>
    </xf>
    <xf numFmtId="0" fontId="8" fillId="5" borderId="8" xfId="1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3" xfId="0" applyBorder="1" applyAlignment="1"/>
    <xf numFmtId="14" fontId="8" fillId="5" borderId="8" xfId="1" applyNumberFormat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/>
    </xf>
    <xf numFmtId="0" fontId="0" fillId="0" borderId="4" xfId="0" applyBorder="1" applyAlignment="1"/>
    <xf numFmtId="0" fontId="8" fillId="5" borderId="1" xfId="1" applyFont="1" applyFill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</cellXfs>
  <cellStyles count="3">
    <cellStyle name="쉼표 [0]" xfId="2" builtinId="6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workbookViewId="0">
      <selection activeCell="F13" sqref="F13"/>
    </sheetView>
  </sheetViews>
  <sheetFormatPr defaultColWidth="8.875" defaultRowHeight="16.5" x14ac:dyDescent="0.3"/>
  <cols>
    <col min="3" max="10" width="12" style="30" customWidth="1"/>
    <col min="11" max="11" width="15.125" style="30" customWidth="1"/>
  </cols>
  <sheetData>
    <row r="2" spans="2:11" ht="17.25" customHeight="1" x14ac:dyDescent="0.3">
      <c r="B2" s="35" t="s">
        <v>20</v>
      </c>
      <c r="C2" s="34"/>
      <c r="D2" s="34"/>
      <c r="E2" s="34"/>
    </row>
    <row r="3" spans="2:11" ht="17.25" customHeight="1" x14ac:dyDescent="0.3"/>
    <row r="4" spans="2:11" x14ac:dyDescent="0.3"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</row>
    <row r="5" spans="2:11" x14ac:dyDescent="0.3">
      <c r="B5" s="4" t="s">
        <v>31</v>
      </c>
      <c r="C5" s="8">
        <f>'4월'!$C$9</f>
        <v>0</v>
      </c>
      <c r="D5" s="8">
        <f>'5월'!$C$9</f>
        <v>1</v>
      </c>
      <c r="E5" s="8">
        <f>'6월'!$C$9</f>
        <v>4</v>
      </c>
      <c r="F5" s="8">
        <f>'7월'!$C$9</f>
        <v>0</v>
      </c>
      <c r="G5" s="8">
        <f>'8월'!$C$9</f>
        <v>0</v>
      </c>
      <c r="H5" s="8">
        <f>'9월'!$C$9</f>
        <v>0</v>
      </c>
      <c r="I5" s="8">
        <f>'10월'!$C$9</f>
        <v>0</v>
      </c>
      <c r="J5" s="8">
        <f>'11월'!$C$9</f>
        <v>0</v>
      </c>
      <c r="K5" s="8">
        <f>SUM(C5:J5)</f>
        <v>5</v>
      </c>
    </row>
    <row r="6" spans="2:11" x14ac:dyDescent="0.3">
      <c r="B6" s="4" t="s">
        <v>32</v>
      </c>
      <c r="C6" s="8">
        <f>'4월'!$C$10</f>
        <v>0</v>
      </c>
      <c r="D6" s="8">
        <f>'5월'!$C$10</f>
        <v>0</v>
      </c>
      <c r="E6" s="8">
        <f>'6월'!$C$10</f>
        <v>0</v>
      </c>
      <c r="F6" s="8">
        <f>'7월'!$C$10</f>
        <v>0</v>
      </c>
      <c r="G6" s="8">
        <f>'8월'!$C$10</f>
        <v>0</v>
      </c>
      <c r="H6" s="8">
        <f>'9월'!$C$10</f>
        <v>0</v>
      </c>
      <c r="I6" s="8">
        <f>'10월'!$C$10</f>
        <v>0</v>
      </c>
      <c r="J6" s="8">
        <f>'11월'!$C$10</f>
        <v>0</v>
      </c>
      <c r="K6" s="8">
        <f>SUM(C6:J6)</f>
        <v>0</v>
      </c>
    </row>
    <row r="7" spans="2:11" x14ac:dyDescent="0.3">
      <c r="B7" s="4" t="s">
        <v>33</v>
      </c>
      <c r="C7" s="8">
        <f>'4월'!$C$11</f>
        <v>0</v>
      </c>
      <c r="D7" s="8">
        <f>'5월'!$C$11</f>
        <v>0</v>
      </c>
      <c r="E7" s="8">
        <f>'6월'!$C$11</f>
        <v>0</v>
      </c>
      <c r="F7" s="8">
        <f>'7월'!$C$11</f>
        <v>0</v>
      </c>
      <c r="G7" s="8">
        <f>'8월'!$C$11</f>
        <v>0</v>
      </c>
      <c r="H7" s="8">
        <f>'9월'!$C$11</f>
        <v>0</v>
      </c>
      <c r="I7" s="8">
        <f>'10월'!$C$11</f>
        <v>0</v>
      </c>
      <c r="J7" s="8">
        <f>'11월'!$C$11</f>
        <v>0</v>
      </c>
      <c r="K7" s="8">
        <f>SUM(C7:J7)</f>
        <v>0</v>
      </c>
    </row>
    <row r="11" spans="2:11" x14ac:dyDescent="0.3">
      <c r="B11" s="35" t="s">
        <v>34</v>
      </c>
      <c r="C11" s="34"/>
      <c r="D11" s="34"/>
      <c r="E11" s="34"/>
      <c r="F11" s="27" t="s">
        <v>35</v>
      </c>
      <c r="G11" s="29">
        <v>80000000</v>
      </c>
    </row>
    <row r="12" spans="2:11" x14ac:dyDescent="0.3"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36</v>
      </c>
    </row>
    <row r="13" spans="2:11" x14ac:dyDescent="0.3">
      <c r="B13" s="4" t="s">
        <v>37</v>
      </c>
      <c r="C13" s="8">
        <v>0</v>
      </c>
      <c r="D13" s="8">
        <v>0</v>
      </c>
      <c r="E13" s="8">
        <v>0</v>
      </c>
      <c r="F13" s="8">
        <f>'7월'!$C$9</f>
        <v>0</v>
      </c>
      <c r="G13" s="8">
        <f>'8월'!$C$9</f>
        <v>0</v>
      </c>
      <c r="H13" s="8">
        <f>'9월'!$C$9</f>
        <v>0</v>
      </c>
      <c r="I13" s="8">
        <f>'10월'!$C$9</f>
        <v>0</v>
      </c>
      <c r="J13" s="8">
        <f>'11월'!$C$9</f>
        <v>0</v>
      </c>
      <c r="K13" s="28">
        <f>G11-C13-D13-E13-F13-G13-H13-I13-J13</f>
        <v>80000000</v>
      </c>
    </row>
  </sheetData>
  <mergeCells count="2">
    <mergeCell ref="B11:E11"/>
    <mergeCell ref="B2:E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5" sqref="B5"/>
    </sheetView>
  </sheetViews>
  <sheetFormatPr defaultColWidth="9" defaultRowHeight="13.5" x14ac:dyDescent="0.3"/>
  <cols>
    <col min="1" max="1" width="10.125" style="15" bestFit="1" customWidth="1"/>
    <col min="2" max="2" width="10.125" style="15" customWidth="1"/>
    <col min="3" max="3" width="18" style="15" customWidth="1"/>
    <col min="4" max="4" width="10.875" style="21" customWidth="1"/>
    <col min="5" max="5" width="5.375" style="21" bestFit="1" customWidth="1"/>
    <col min="6" max="6" width="8.5" style="21" customWidth="1"/>
    <col min="7" max="7" width="15.625" style="22" customWidth="1"/>
    <col min="8" max="8" width="18.125" style="21" customWidth="1"/>
    <col min="9" max="9" width="22.625" style="21" customWidth="1"/>
    <col min="10" max="10" width="38" style="21" customWidth="1"/>
    <col min="11" max="11" width="11" style="21" customWidth="1"/>
    <col min="12" max="13" width="7.875" style="21" customWidth="1"/>
    <col min="14" max="14" width="11.5" style="21" customWidth="1"/>
    <col min="15" max="17" width="11.375" style="21" customWidth="1"/>
    <col min="18" max="18" width="16.125" style="21" customWidth="1"/>
    <col min="19" max="19" width="16.25" style="21" customWidth="1"/>
    <col min="20" max="20" width="9" style="15" customWidth="1"/>
    <col min="21" max="16384" width="9" style="15"/>
  </cols>
  <sheetData>
    <row r="1" spans="1:19" ht="36" customHeight="1" x14ac:dyDescent="0.3">
      <c r="B1" s="26" t="s">
        <v>38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10" customFormat="1" ht="23.25" customHeight="1" x14ac:dyDescent="0.3">
      <c r="A2" s="40" t="s">
        <v>39</v>
      </c>
      <c r="B2" s="36" t="s">
        <v>40</v>
      </c>
      <c r="C2" s="42" t="s">
        <v>41</v>
      </c>
      <c r="D2" s="43"/>
      <c r="E2" s="43"/>
      <c r="F2" s="44"/>
      <c r="G2" s="39" t="s">
        <v>42</v>
      </c>
      <c r="H2" s="37"/>
      <c r="I2" s="37"/>
      <c r="J2" s="38"/>
      <c r="K2" s="36" t="s">
        <v>43</v>
      </c>
      <c r="L2" s="37"/>
      <c r="M2" s="37"/>
      <c r="N2" s="38"/>
      <c r="O2" s="36" t="s">
        <v>44</v>
      </c>
      <c r="P2" s="37"/>
      <c r="Q2" s="37"/>
      <c r="R2" s="37"/>
      <c r="S2" s="38"/>
    </row>
    <row r="3" spans="1:19" s="10" customFormat="1" ht="23.25" customHeight="1" x14ac:dyDescent="0.3">
      <c r="A3" s="41"/>
      <c r="B3" s="41"/>
      <c r="C3" s="24" t="s">
        <v>45</v>
      </c>
      <c r="D3" s="11" t="s">
        <v>46</v>
      </c>
      <c r="E3" s="11" t="s">
        <v>47</v>
      </c>
      <c r="F3" s="11" t="s">
        <v>48</v>
      </c>
      <c r="G3" s="25" t="s">
        <v>49</v>
      </c>
      <c r="H3" s="23" t="s">
        <v>50</v>
      </c>
      <c r="I3" s="23" t="s">
        <v>51</v>
      </c>
      <c r="J3" s="23" t="s">
        <v>52</v>
      </c>
      <c r="K3" s="11" t="s">
        <v>53</v>
      </c>
      <c r="L3" s="11" t="s">
        <v>54</v>
      </c>
      <c r="M3" s="11" t="s">
        <v>55</v>
      </c>
      <c r="N3" s="11" t="s">
        <v>56</v>
      </c>
      <c r="O3" s="11" t="s">
        <v>53</v>
      </c>
      <c r="P3" s="11" t="s">
        <v>55</v>
      </c>
      <c r="Q3" s="11" t="s">
        <v>57</v>
      </c>
      <c r="R3" s="11" t="s">
        <v>58</v>
      </c>
      <c r="S3" s="11" t="s">
        <v>56</v>
      </c>
    </row>
    <row r="4" spans="1:19" ht="93" customHeight="1" x14ac:dyDescent="0.3">
      <c r="A4" s="12" t="s">
        <v>59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4" t="s">
        <v>65</v>
      </c>
      <c r="H4" s="13" t="s">
        <v>66</v>
      </c>
      <c r="I4" s="13" t="s">
        <v>67</v>
      </c>
      <c r="J4" s="13" t="s">
        <v>68</v>
      </c>
      <c r="K4" s="13" t="s">
        <v>69</v>
      </c>
      <c r="L4" s="13">
        <v>1234567</v>
      </c>
      <c r="M4" s="13" t="s">
        <v>66</v>
      </c>
      <c r="N4" s="13" t="s">
        <v>70</v>
      </c>
      <c r="O4" s="13" t="s">
        <v>71</v>
      </c>
      <c r="P4" s="13" t="s">
        <v>72</v>
      </c>
      <c r="Q4" s="13" t="s">
        <v>73</v>
      </c>
      <c r="R4" s="13" t="s">
        <v>74</v>
      </c>
      <c r="S4" s="13" t="s">
        <v>75</v>
      </c>
    </row>
    <row r="5" spans="1:19" s="20" customFormat="1" ht="28.5" customHeight="1" x14ac:dyDescent="0.3">
      <c r="A5" s="16" t="s">
        <v>76</v>
      </c>
      <c r="B5" s="17"/>
      <c r="C5" s="17"/>
      <c r="D5" s="18"/>
      <c r="E5" s="18"/>
      <c r="F5" s="18"/>
      <c r="G5" s="19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</sheetData>
  <mergeCells count="6">
    <mergeCell ref="O2:S2"/>
    <mergeCell ref="G2:J2"/>
    <mergeCell ref="A2:A3"/>
    <mergeCell ref="K2:N2"/>
    <mergeCell ref="B2:B3"/>
    <mergeCell ref="C2:F2"/>
  </mergeCells>
  <phoneticPr fontId="1" type="noConversion"/>
  <pageMargins left="0.25" right="0.25" top="0.75" bottom="0.75" header="0.3" footer="0.3"/>
  <pageSetup paperSize="9" scale="6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2"/>
  <sheetViews>
    <sheetView zoomScale="85" zoomScaleNormal="85" workbookViewId="0">
      <selection activeCell="D5" sqref="D5:D8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77</v>
      </c>
      <c r="C2" s="34"/>
      <c r="D2" s="34"/>
    </row>
    <row r="3" spans="2:4" x14ac:dyDescent="0.3">
      <c r="B3" s="1"/>
      <c r="C3" s="1"/>
      <c r="D3" s="2"/>
    </row>
    <row r="4" spans="2:4" x14ac:dyDescent="0.3">
      <c r="B4" s="3" t="s">
        <v>1</v>
      </c>
      <c r="C4" s="3" t="s">
        <v>78</v>
      </c>
      <c r="D4" s="3" t="s">
        <v>79</v>
      </c>
    </row>
    <row r="5" spans="2:4" ht="142.5" customHeight="1" x14ac:dyDescent="0.3">
      <c r="B5" s="4" t="s">
        <v>4</v>
      </c>
      <c r="C5" s="5" t="s">
        <v>80</v>
      </c>
      <c r="D5" s="5" t="s">
        <v>5</v>
      </c>
    </row>
    <row r="6" spans="2:4" ht="142.5" customHeight="1" x14ac:dyDescent="0.3">
      <c r="B6" s="4" t="s">
        <v>7</v>
      </c>
      <c r="C6" s="5" t="s">
        <v>81</v>
      </c>
      <c r="D6" s="5" t="s">
        <v>82</v>
      </c>
    </row>
    <row r="7" spans="2:4" ht="99.75" customHeight="1" x14ac:dyDescent="0.3">
      <c r="B7" s="4" t="s">
        <v>10</v>
      </c>
      <c r="C7" s="5" t="s">
        <v>83</v>
      </c>
      <c r="D7" s="5" t="s">
        <v>84</v>
      </c>
    </row>
    <row r="8" spans="2:4" ht="156.75" customHeight="1" x14ac:dyDescent="0.3">
      <c r="B8" s="4" t="s">
        <v>13</v>
      </c>
      <c r="C8" s="5" t="s">
        <v>85</v>
      </c>
      <c r="D8" s="5" t="s">
        <v>86</v>
      </c>
    </row>
    <row r="9" spans="2:4" x14ac:dyDescent="0.3">
      <c r="B9" s="9" t="s">
        <v>16</v>
      </c>
      <c r="C9" s="8">
        <v>0</v>
      </c>
      <c r="D9" s="6">
        <v>5</v>
      </c>
    </row>
    <row r="10" spans="2:4" x14ac:dyDescent="0.3">
      <c r="B10" s="9" t="s">
        <v>17</v>
      </c>
      <c r="C10" s="8">
        <v>0</v>
      </c>
      <c r="D10" s="6">
        <v>0</v>
      </c>
    </row>
    <row r="11" spans="2:4" x14ac:dyDescent="0.3">
      <c r="B11" s="9" t="s">
        <v>18</v>
      </c>
      <c r="C11" s="8">
        <v>0</v>
      </c>
      <c r="D11" s="6">
        <v>0</v>
      </c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2"/>
  <sheetViews>
    <sheetView topLeftCell="A6" workbookViewId="0">
      <selection activeCell="D9" sqref="D9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0</v>
      </c>
      <c r="C2" s="34"/>
      <c r="D2" s="34"/>
    </row>
    <row r="3" spans="2:4" x14ac:dyDescent="0.3">
      <c r="B3" s="1"/>
      <c r="C3" s="1"/>
      <c r="D3" s="2"/>
    </row>
    <row r="4" spans="2:4" x14ac:dyDescent="0.3">
      <c r="B4" s="3" t="s">
        <v>1</v>
      </c>
      <c r="C4" s="3" t="s">
        <v>2</v>
      </c>
      <c r="D4" s="3" t="s">
        <v>3</v>
      </c>
    </row>
    <row r="5" spans="2:4" ht="142.5" customHeight="1" x14ac:dyDescent="0.3">
      <c r="B5" s="4" t="s">
        <v>4</v>
      </c>
      <c r="C5" s="5" t="s">
        <v>5</v>
      </c>
      <c r="D5" s="5" t="s">
        <v>6</v>
      </c>
    </row>
    <row r="6" spans="2:4" ht="185.25" customHeight="1" x14ac:dyDescent="0.3">
      <c r="B6" s="4" t="s">
        <v>7</v>
      </c>
      <c r="C6" s="5" t="s">
        <v>8</v>
      </c>
      <c r="D6" s="5" t="s">
        <v>9</v>
      </c>
    </row>
    <row r="7" spans="2:4" ht="142.5" customHeight="1" x14ac:dyDescent="0.3">
      <c r="B7" s="4" t="s">
        <v>10</v>
      </c>
      <c r="C7" s="5" t="s">
        <v>11</v>
      </c>
      <c r="D7" s="5" t="s">
        <v>12</v>
      </c>
    </row>
    <row r="8" spans="2:4" ht="128.25" customHeight="1" x14ac:dyDescent="0.3">
      <c r="B8" s="4" t="s">
        <v>13</v>
      </c>
      <c r="C8" s="5" t="s">
        <v>14</v>
      </c>
      <c r="D8" s="5" t="s">
        <v>15</v>
      </c>
    </row>
    <row r="9" spans="2:4" x14ac:dyDescent="0.3">
      <c r="B9" s="9" t="s">
        <v>16</v>
      </c>
      <c r="C9" s="8">
        <v>1</v>
      </c>
      <c r="D9" s="6">
        <v>10</v>
      </c>
    </row>
    <row r="10" spans="2:4" x14ac:dyDescent="0.3">
      <c r="B10" s="9" t="s">
        <v>17</v>
      </c>
      <c r="C10" s="8">
        <v>0</v>
      </c>
      <c r="D10" s="6">
        <v>0</v>
      </c>
    </row>
    <row r="11" spans="2:4" x14ac:dyDescent="0.3">
      <c r="B11" s="9" t="s">
        <v>18</v>
      </c>
      <c r="C11" s="8">
        <v>0</v>
      </c>
      <c r="D11" s="6">
        <v>1</v>
      </c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2"/>
  <sheetViews>
    <sheetView tabSelected="1" workbookViewId="0">
      <selection activeCell="B2" sqref="B2:D2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87</v>
      </c>
      <c r="C2" s="34"/>
      <c r="D2" s="34"/>
    </row>
    <row r="3" spans="2:4" x14ac:dyDescent="0.3">
      <c r="B3" s="1"/>
      <c r="C3" s="1"/>
      <c r="D3" s="2"/>
    </row>
    <row r="4" spans="2:4" x14ac:dyDescent="0.3">
      <c r="B4" s="3" t="s">
        <v>1</v>
      </c>
      <c r="C4" s="3" t="s">
        <v>88</v>
      </c>
      <c r="D4" s="3" t="s">
        <v>89</v>
      </c>
    </row>
    <row r="5" spans="2:4" ht="215.1" customHeight="1" x14ac:dyDescent="0.3">
      <c r="B5" s="4" t="s">
        <v>4</v>
      </c>
      <c r="C5" s="31" t="s">
        <v>90</v>
      </c>
      <c r="D5" s="31" t="s">
        <v>112</v>
      </c>
    </row>
    <row r="6" spans="2:4" ht="170.1" customHeight="1" x14ac:dyDescent="0.3">
      <c r="B6" s="4" t="s">
        <v>7</v>
      </c>
      <c r="C6" s="31" t="s">
        <v>91</v>
      </c>
      <c r="D6" s="31" t="s">
        <v>92</v>
      </c>
    </row>
    <row r="7" spans="2:4" ht="219.95" customHeight="1" x14ac:dyDescent="0.3">
      <c r="B7" s="4" t="s">
        <v>10</v>
      </c>
      <c r="C7" s="31" t="s">
        <v>110</v>
      </c>
      <c r="D7" s="31" t="s">
        <v>113</v>
      </c>
    </row>
    <row r="8" spans="2:4" ht="285" x14ac:dyDescent="0.3">
      <c r="B8" s="4" t="s">
        <v>13</v>
      </c>
      <c r="C8" s="31" t="s">
        <v>111</v>
      </c>
      <c r="D8" s="31" t="s">
        <v>114</v>
      </c>
    </row>
    <row r="9" spans="2:4" x14ac:dyDescent="0.3">
      <c r="B9" s="9" t="s">
        <v>16</v>
      </c>
      <c r="C9" s="7">
        <v>4</v>
      </c>
      <c r="D9" s="6">
        <v>10</v>
      </c>
    </row>
    <row r="10" spans="2:4" x14ac:dyDescent="0.3">
      <c r="B10" s="9" t="s">
        <v>17</v>
      </c>
      <c r="C10" s="7">
        <v>0</v>
      </c>
      <c r="D10" s="6">
        <v>0</v>
      </c>
    </row>
    <row r="11" spans="2:4" x14ac:dyDescent="0.3">
      <c r="B11" s="9" t="s">
        <v>18</v>
      </c>
      <c r="C11" s="7">
        <v>0</v>
      </c>
      <c r="D11" s="6">
        <v>2</v>
      </c>
    </row>
    <row r="12" spans="2:4" ht="110.1" customHeight="1" x14ac:dyDescent="0.3">
      <c r="B12" s="4" t="s">
        <v>19</v>
      </c>
      <c r="C12" s="32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2"/>
  <sheetViews>
    <sheetView workbookViewId="0">
      <selection activeCell="D4" sqref="D4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93</v>
      </c>
      <c r="C2" s="34"/>
      <c r="D2" s="34"/>
    </row>
    <row r="3" spans="2:4" x14ac:dyDescent="0.3">
      <c r="B3" s="1"/>
      <c r="C3" s="1"/>
      <c r="D3" s="2"/>
    </row>
    <row r="4" spans="2:4" x14ac:dyDescent="0.3">
      <c r="B4" s="3" t="s">
        <v>1</v>
      </c>
      <c r="C4" s="3" t="s">
        <v>94</v>
      </c>
      <c r="D4" s="3" t="s">
        <v>95</v>
      </c>
    </row>
    <row r="5" spans="2:4" ht="99" customHeight="1" x14ac:dyDescent="0.3">
      <c r="B5" s="4" t="s">
        <v>4</v>
      </c>
      <c r="C5" s="5" t="s">
        <v>96</v>
      </c>
      <c r="D5" s="5" t="s">
        <v>96</v>
      </c>
    </row>
    <row r="6" spans="2:4" ht="85.5" customHeight="1" x14ac:dyDescent="0.3">
      <c r="B6" s="4" t="s">
        <v>7</v>
      </c>
      <c r="C6" s="5" t="s">
        <v>96</v>
      </c>
      <c r="D6" s="5" t="s">
        <v>96</v>
      </c>
    </row>
    <row r="7" spans="2:4" ht="85.5" customHeight="1" x14ac:dyDescent="0.3">
      <c r="B7" s="4" t="s">
        <v>10</v>
      </c>
      <c r="C7" s="5" t="s">
        <v>96</v>
      </c>
      <c r="D7" s="5" t="s">
        <v>96</v>
      </c>
    </row>
    <row r="8" spans="2:4" ht="85.5" customHeight="1" x14ac:dyDescent="0.3">
      <c r="B8" s="4" t="s">
        <v>13</v>
      </c>
      <c r="C8" s="5" t="s">
        <v>96</v>
      </c>
      <c r="D8" s="5" t="s">
        <v>96</v>
      </c>
    </row>
    <row r="9" spans="2:4" x14ac:dyDescent="0.3">
      <c r="B9" s="9" t="s">
        <v>16</v>
      </c>
      <c r="C9" s="7"/>
      <c r="D9" s="6"/>
    </row>
    <row r="10" spans="2:4" x14ac:dyDescent="0.3">
      <c r="B10" s="9" t="s">
        <v>17</v>
      </c>
      <c r="C10" s="7"/>
      <c r="D10" s="6"/>
    </row>
    <row r="11" spans="2:4" x14ac:dyDescent="0.3">
      <c r="B11" s="9" t="s">
        <v>18</v>
      </c>
      <c r="C11" s="7"/>
      <c r="D11" s="6"/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2"/>
  <sheetViews>
    <sheetView workbookViewId="0">
      <selection activeCell="D5" sqref="D5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97</v>
      </c>
      <c r="C2" s="34"/>
      <c r="D2" s="34"/>
    </row>
    <row r="3" spans="2:4" x14ac:dyDescent="0.3">
      <c r="B3" s="1"/>
      <c r="C3" s="1"/>
      <c r="D3" s="2"/>
    </row>
    <row r="4" spans="2:4" x14ac:dyDescent="0.3">
      <c r="B4" s="3" t="s">
        <v>1</v>
      </c>
      <c r="C4" s="3" t="s">
        <v>98</v>
      </c>
      <c r="D4" s="3" t="s">
        <v>99</v>
      </c>
    </row>
    <row r="5" spans="2:4" ht="99" customHeight="1" x14ac:dyDescent="0.3">
      <c r="B5" s="4" t="s">
        <v>4</v>
      </c>
      <c r="C5" s="5" t="s">
        <v>96</v>
      </c>
      <c r="D5" s="5" t="s">
        <v>96</v>
      </c>
    </row>
    <row r="6" spans="2:4" ht="85.5" customHeight="1" x14ac:dyDescent="0.3">
      <c r="B6" s="4" t="s">
        <v>7</v>
      </c>
      <c r="C6" s="5" t="s">
        <v>96</v>
      </c>
      <c r="D6" s="5" t="s">
        <v>96</v>
      </c>
    </row>
    <row r="7" spans="2:4" ht="85.5" customHeight="1" x14ac:dyDescent="0.3">
      <c r="B7" s="4" t="s">
        <v>10</v>
      </c>
      <c r="C7" s="5" t="s">
        <v>96</v>
      </c>
      <c r="D7" s="5" t="s">
        <v>96</v>
      </c>
    </row>
    <row r="8" spans="2:4" ht="85.5" customHeight="1" x14ac:dyDescent="0.3">
      <c r="B8" s="4" t="s">
        <v>13</v>
      </c>
      <c r="C8" s="5" t="s">
        <v>96</v>
      </c>
      <c r="D8" s="5" t="s">
        <v>96</v>
      </c>
    </row>
    <row r="9" spans="2:4" x14ac:dyDescent="0.3">
      <c r="B9" s="9" t="s">
        <v>16</v>
      </c>
      <c r="C9" s="7"/>
      <c r="D9" s="6"/>
    </row>
    <row r="10" spans="2:4" x14ac:dyDescent="0.3">
      <c r="B10" s="9" t="s">
        <v>17</v>
      </c>
      <c r="C10" s="7"/>
      <c r="D10" s="6"/>
    </row>
    <row r="11" spans="2:4" x14ac:dyDescent="0.3">
      <c r="B11" s="9" t="s">
        <v>18</v>
      </c>
      <c r="C11" s="7"/>
      <c r="D11" s="6"/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12"/>
  <sheetViews>
    <sheetView workbookViewId="0">
      <selection activeCell="D4" sqref="D4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100</v>
      </c>
      <c r="C2" s="34"/>
      <c r="D2" s="34"/>
    </row>
    <row r="3" spans="2:4" x14ac:dyDescent="0.3">
      <c r="B3" s="1" t="s">
        <v>101</v>
      </c>
      <c r="C3" s="1"/>
      <c r="D3" s="2"/>
    </row>
    <row r="4" spans="2:4" x14ac:dyDescent="0.3">
      <c r="B4" s="3" t="s">
        <v>1</v>
      </c>
      <c r="C4" s="3" t="s">
        <v>102</v>
      </c>
      <c r="D4" s="3" t="s">
        <v>103</v>
      </c>
    </row>
    <row r="5" spans="2:4" ht="99" customHeight="1" x14ac:dyDescent="0.3">
      <c r="B5" s="4" t="s">
        <v>4</v>
      </c>
      <c r="C5" s="5" t="s">
        <v>96</v>
      </c>
      <c r="D5" s="5" t="s">
        <v>96</v>
      </c>
    </row>
    <row r="6" spans="2:4" ht="85.5" customHeight="1" x14ac:dyDescent="0.3">
      <c r="B6" s="4" t="s">
        <v>7</v>
      </c>
      <c r="C6" s="5" t="s">
        <v>96</v>
      </c>
      <c r="D6" s="5" t="s">
        <v>96</v>
      </c>
    </row>
    <row r="7" spans="2:4" ht="85.5" customHeight="1" x14ac:dyDescent="0.3">
      <c r="B7" s="4" t="s">
        <v>10</v>
      </c>
      <c r="C7" s="5" t="s">
        <v>96</v>
      </c>
      <c r="D7" s="5" t="s">
        <v>96</v>
      </c>
    </row>
    <row r="8" spans="2:4" ht="85.5" customHeight="1" x14ac:dyDescent="0.3">
      <c r="B8" s="4" t="s">
        <v>13</v>
      </c>
      <c r="C8" s="5" t="s">
        <v>96</v>
      </c>
      <c r="D8" s="5" t="s">
        <v>96</v>
      </c>
    </row>
    <row r="9" spans="2:4" x14ac:dyDescent="0.3">
      <c r="B9" s="9" t="s">
        <v>16</v>
      </c>
      <c r="C9" s="7"/>
      <c r="D9" s="6"/>
    </row>
    <row r="10" spans="2:4" x14ac:dyDescent="0.3">
      <c r="B10" s="9" t="s">
        <v>17</v>
      </c>
      <c r="C10" s="7"/>
      <c r="D10" s="6"/>
    </row>
    <row r="11" spans="2:4" x14ac:dyDescent="0.3">
      <c r="B11" s="9" t="s">
        <v>18</v>
      </c>
      <c r="C11" s="7"/>
      <c r="D11" s="6"/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12"/>
  <sheetViews>
    <sheetView workbookViewId="0">
      <selection activeCell="D4" sqref="D4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104</v>
      </c>
      <c r="C2" s="34"/>
      <c r="D2" s="34"/>
    </row>
    <row r="3" spans="2:4" x14ac:dyDescent="0.3">
      <c r="B3" s="1" t="s">
        <v>101</v>
      </c>
      <c r="C3" s="1"/>
      <c r="D3" s="2"/>
    </row>
    <row r="4" spans="2:4" x14ac:dyDescent="0.3">
      <c r="B4" s="3" t="s">
        <v>1</v>
      </c>
      <c r="C4" s="3" t="s">
        <v>105</v>
      </c>
      <c r="D4" s="3" t="s">
        <v>106</v>
      </c>
    </row>
    <row r="5" spans="2:4" ht="99" customHeight="1" x14ac:dyDescent="0.3">
      <c r="B5" s="4" t="s">
        <v>4</v>
      </c>
      <c r="C5" s="5" t="s">
        <v>96</v>
      </c>
      <c r="D5" s="5" t="s">
        <v>96</v>
      </c>
    </row>
    <row r="6" spans="2:4" ht="85.5" customHeight="1" x14ac:dyDescent="0.3">
      <c r="B6" s="4" t="s">
        <v>7</v>
      </c>
      <c r="C6" s="5" t="s">
        <v>96</v>
      </c>
      <c r="D6" s="5" t="s">
        <v>96</v>
      </c>
    </row>
    <row r="7" spans="2:4" ht="85.5" customHeight="1" x14ac:dyDescent="0.3">
      <c r="B7" s="4" t="s">
        <v>10</v>
      </c>
      <c r="C7" s="5" t="s">
        <v>96</v>
      </c>
      <c r="D7" s="5" t="s">
        <v>96</v>
      </c>
    </row>
    <row r="8" spans="2:4" ht="85.5" customHeight="1" x14ac:dyDescent="0.3">
      <c r="B8" s="4" t="s">
        <v>13</v>
      </c>
      <c r="C8" s="5" t="s">
        <v>96</v>
      </c>
      <c r="D8" s="5" t="s">
        <v>96</v>
      </c>
    </row>
    <row r="9" spans="2:4" x14ac:dyDescent="0.3">
      <c r="B9" s="9" t="s">
        <v>16</v>
      </c>
      <c r="C9" s="7"/>
      <c r="D9" s="6"/>
    </row>
    <row r="10" spans="2:4" x14ac:dyDescent="0.3">
      <c r="B10" s="9" t="s">
        <v>17</v>
      </c>
      <c r="C10" s="7"/>
      <c r="D10" s="6"/>
    </row>
    <row r="11" spans="2:4" x14ac:dyDescent="0.3">
      <c r="B11" s="9" t="s">
        <v>18</v>
      </c>
      <c r="C11" s="7"/>
      <c r="D11" s="6"/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12"/>
  <sheetViews>
    <sheetView workbookViewId="0">
      <selection activeCell="D5" sqref="D5"/>
    </sheetView>
  </sheetViews>
  <sheetFormatPr defaultColWidth="8.875" defaultRowHeight="16.5" x14ac:dyDescent="0.3"/>
  <cols>
    <col min="1" max="1" width="4.125" style="30" customWidth="1"/>
    <col min="2" max="2" width="16.625" style="30" customWidth="1"/>
    <col min="3" max="4" width="50.625" style="30" customWidth="1"/>
  </cols>
  <sheetData>
    <row r="2" spans="2:4" ht="24.75" customHeight="1" x14ac:dyDescent="0.3">
      <c r="B2" s="33" t="s">
        <v>107</v>
      </c>
      <c r="C2" s="34"/>
      <c r="D2" s="34"/>
    </row>
    <row r="3" spans="2:4" x14ac:dyDescent="0.3">
      <c r="B3" s="1" t="s">
        <v>101</v>
      </c>
      <c r="C3" s="1"/>
      <c r="D3" s="2"/>
    </row>
    <row r="4" spans="2:4" x14ac:dyDescent="0.3">
      <c r="B4" s="3" t="s">
        <v>1</v>
      </c>
      <c r="C4" s="3" t="s">
        <v>108</v>
      </c>
      <c r="D4" s="3" t="s">
        <v>109</v>
      </c>
    </row>
    <row r="5" spans="2:4" ht="99" customHeight="1" x14ac:dyDescent="0.3">
      <c r="B5" s="4" t="s">
        <v>4</v>
      </c>
      <c r="C5" s="5" t="s">
        <v>96</v>
      </c>
      <c r="D5" s="5" t="s">
        <v>96</v>
      </c>
    </row>
    <row r="6" spans="2:4" ht="85.5" customHeight="1" x14ac:dyDescent="0.3">
      <c r="B6" s="4" t="s">
        <v>7</v>
      </c>
      <c r="C6" s="5" t="s">
        <v>96</v>
      </c>
      <c r="D6" s="5" t="s">
        <v>96</v>
      </c>
    </row>
    <row r="7" spans="2:4" ht="85.5" customHeight="1" x14ac:dyDescent="0.3">
      <c r="B7" s="4" t="s">
        <v>10</v>
      </c>
      <c r="C7" s="5" t="s">
        <v>96</v>
      </c>
      <c r="D7" s="5" t="s">
        <v>96</v>
      </c>
    </row>
    <row r="8" spans="2:4" ht="85.5" customHeight="1" x14ac:dyDescent="0.3">
      <c r="B8" s="4" t="s">
        <v>13</v>
      </c>
      <c r="C8" s="5" t="s">
        <v>96</v>
      </c>
      <c r="D8" s="5" t="s">
        <v>96</v>
      </c>
    </row>
    <row r="9" spans="2:4" x14ac:dyDescent="0.3">
      <c r="B9" s="9" t="s">
        <v>16</v>
      </c>
      <c r="C9" s="7"/>
      <c r="D9" s="6"/>
    </row>
    <row r="10" spans="2:4" x14ac:dyDescent="0.3">
      <c r="B10" s="9" t="s">
        <v>17</v>
      </c>
      <c r="C10" s="7"/>
      <c r="D10" s="6"/>
    </row>
    <row r="11" spans="2:4" x14ac:dyDescent="0.3">
      <c r="B11" s="9" t="s">
        <v>18</v>
      </c>
      <c r="C11" s="7"/>
      <c r="D11" s="6"/>
    </row>
    <row r="12" spans="2:4" ht="63.75" customHeight="1" x14ac:dyDescent="0.3">
      <c r="B12" s="4" t="s">
        <v>19</v>
      </c>
      <c r="C12" s="7"/>
      <c r="D12" s="7"/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요약</vt:lpstr>
      <vt:lpstr>사전사후관리 현황보고 양식_누적</vt:lpstr>
      <vt:lpstr>4월</vt:lpstr>
      <vt:lpstr>5월</vt:lpstr>
      <vt:lpstr>6월</vt:lpstr>
      <vt:lpstr>7월</vt:lpstr>
      <vt:lpstr>8월</vt:lpstr>
      <vt:lpstr>9월</vt:lpstr>
      <vt:lpstr>10월</vt:lpstr>
      <vt:lpstr>11월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khidi</dc:creator>
  <cp:lastModifiedBy>석민 문</cp:lastModifiedBy>
  <dcterms:created xsi:type="dcterms:W3CDTF">2023-04-18T05:51:08Z</dcterms:created>
  <dcterms:modified xsi:type="dcterms:W3CDTF">2026-07-13T10:30:25Z</dcterms:modified>
</cp:coreProperties>
</file>